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orsyaifudinmeorsha/Desktop/SQL/Brazilian-Ecommerce-Sales-Analytics-SQL/"/>
    </mc:Choice>
  </mc:AlternateContent>
  <xr:revisionPtr revIDLastSave="0" documentId="13_ncr:1_{88151F58-C37E-5A46-B397-4D14792F6F40}" xr6:coauthVersionLast="47" xr6:coauthVersionMax="47" xr10:uidLastSave="{00000000-0000-0000-0000-000000000000}"/>
  <bookViews>
    <workbookView xWindow="0" yWindow="0" windowWidth="33600" windowHeight="21000" activeTab="1" xr2:uid="{7AB87B47-BA23-8449-8D15-19B9E5BADC62}"/>
  </bookViews>
  <sheets>
    <sheet name="Data" sheetId="1" r:id="rId1"/>
    <sheet name="Dashboar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D16" i="1"/>
  <c r="D17" i="1"/>
  <c r="D18" i="1"/>
  <c r="D14" i="1"/>
  <c r="C48" i="1"/>
</calcChain>
</file>

<file path=xl/sharedStrings.xml><?xml version="1.0" encoding="utf-8"?>
<sst xmlns="http://schemas.openxmlformats.org/spreadsheetml/2006/main" count="62" uniqueCount="56">
  <si>
    <t>2016-09</t>
  </si>
  <si>
    <t>NaN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</si>
  <si>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</si>
  <si>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</si>
  <si>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</si>
  <si>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</si>
  <si>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</si>
  <si>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</si>
  <si>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</si>
  <si>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</si>
  <si>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</si>
  <si>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</si>
  <si>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</si>
  <si>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</si>
  <si>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</si>
  <si>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</si>
  <si>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</si>
  <si>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</si>
  <si>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</si>
  <si>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</si>
  <si>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</si>
  <si>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</si>
  <si>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</si>
  <si>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</si>
  <si>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Beleza Saude</t>
  </si>
  <si>
    <t>Relogios Presentes</t>
  </si>
  <si>
    <t>Cama Mesa Banho</t>
  </si>
  <si>
    <t>Esporte Lazer</t>
  </si>
  <si>
    <t>Informatica Acessorios</t>
  </si>
  <si>
    <t>Total Orders</t>
  </si>
  <si>
    <t>Total Revenue</t>
  </si>
  <si>
    <t>Category Name</t>
  </si>
  <si>
    <t>Credit Card</t>
  </si>
  <si>
    <t>Voucher</t>
  </si>
  <si>
    <t>Boleto</t>
  </si>
  <si>
    <t>Debit Card</t>
  </si>
  <si>
    <t>Not Defined</t>
  </si>
  <si>
    <t>Payment Type</t>
  </si>
  <si>
    <t>Average Order Value</t>
  </si>
  <si>
    <t>MoM Growth Percentage</t>
  </si>
  <si>
    <t>Previous Month Revenue</t>
  </si>
  <si>
    <t>Sales Month</t>
  </si>
  <si>
    <t>Average Delivery Days</t>
  </si>
  <si>
    <t>Late Delivery Percentage</t>
  </si>
  <si>
    <t>On-Time Delivery Percentage</t>
  </si>
  <si>
    <t>SP</t>
  </si>
  <si>
    <t>RJ</t>
  </si>
  <si>
    <t>MG</t>
  </si>
  <si>
    <t>RS</t>
  </si>
  <si>
    <t>PR</t>
  </si>
  <si>
    <t>SC</t>
  </si>
  <si>
    <t>BA</t>
  </si>
  <si>
    <t>DF</t>
  </si>
  <si>
    <t>GO</t>
  </si>
  <si>
    <t>ES</t>
  </si>
  <si>
    <t>Customer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</si>
</sst>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RM&quot;* #,##0.00_);_(&quot;RM&quot;* \(#,##0.00\);_(&quot;RM&quot;* &quot;-&quot;??_);_(@_)"/>
    <numFmt numFmtId="164" formatCode="_([$$-409]* #,##0.00_);_([$$-409]* \(#,##0.00\);_([$$-409]* &quot;-&quot;??_);_(@_)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theme="1"/>
      <name val="Inherit"/>
    </font>
    <font>
      <b/>
      <sz val="16"/>
      <color theme="1"/>
      <name val="Arial"/>
      <family val="2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C0519"/>
        <bgColor indexed="64"/>
      </patternFill>
    </fill>
    <fill>
      <patternFill patternType="solid">
        <fgColor rgb="FFFAFAF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4" fontId="4" fillId="0" borderId="0" xfId="1" applyNumberFormat="1" applyFont="1"/>
    <xf numFmtId="2" fontId="4" fillId="0" borderId="0" xfId="0" applyNumberFormat="1" applyFont="1"/>
    <xf numFmtId="3" fontId="4" fillId="0" borderId="0" xfId="0" applyNumberFormat="1" applyFont="1"/>
    <xf numFmtId="4" fontId="4" fillId="0" borderId="0" xfId="0" applyNumberFormat="1" applyFont="1"/>
    <xf numFmtId="2" fontId="4" fillId="0" borderId="0" xfId="2" applyNumberFormat="1" applyFont="1"/>
    <xf numFmtId="0" fontId="0" fillId="2" borderId="0" xfId="0" applyFill="1"/>
    <xf numFmtId="0" fontId="0" fillId="3" borderId="0" xfId="0" applyFill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4C0519"/>
      <color rgb="FFFAFAF9"/>
      <color rgb="FFFB7138"/>
      <color rgb="FFBE185D"/>
      <color rgb="FFE11D48"/>
      <color rgb="FF059669"/>
      <color rgb="FF94A3B8"/>
      <color rgb="FFFB923C"/>
      <color rgb="FFF59E0B"/>
      <color rgb="FF312E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MY" sz="18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5 Revenue-Generating Categories</a:t>
            </a:r>
            <a:endParaRPr lang="en-GB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E11D48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11D48"/>
              </a:solidFill>
              <a:ln>
                <a:solidFill>
                  <a:srgbClr val="E11D4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A-DD41-BD4C-C84452D48368}"/>
              </c:ext>
            </c:extLst>
          </c:dPt>
          <c:dPt>
            <c:idx val="1"/>
            <c:invertIfNegative val="0"/>
            <c:bubble3D val="0"/>
            <c:spPr>
              <a:solidFill>
                <a:srgbClr val="E11D48"/>
              </a:solidFill>
              <a:ln>
                <a:solidFill>
                  <a:srgbClr val="E11D4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47A-DD41-BD4C-C84452D48368}"/>
              </c:ext>
            </c:extLst>
          </c:dPt>
          <c:dPt>
            <c:idx val="2"/>
            <c:invertIfNegative val="0"/>
            <c:bubble3D val="0"/>
            <c:spPr>
              <a:solidFill>
                <a:srgbClr val="E11D48"/>
              </a:solidFill>
              <a:ln>
                <a:solidFill>
                  <a:srgbClr val="E11D4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7A-DD41-BD4C-C84452D48368}"/>
              </c:ext>
            </c:extLst>
          </c:dPt>
          <c:dPt>
            <c:idx val="3"/>
            <c:invertIfNegative val="0"/>
            <c:bubble3D val="0"/>
            <c:spPr>
              <a:solidFill>
                <a:srgbClr val="E11D48"/>
              </a:solidFill>
              <a:ln>
                <a:solidFill>
                  <a:srgbClr val="E11D4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47A-DD41-BD4C-C84452D48368}"/>
              </c:ext>
            </c:extLst>
          </c:dPt>
          <c:dPt>
            <c:idx val="4"/>
            <c:invertIfNegative val="0"/>
            <c:bubble3D val="0"/>
            <c:spPr>
              <a:solidFill>
                <a:srgbClr val="E11D48"/>
              </a:solidFill>
              <a:ln>
                <a:solidFill>
                  <a:srgbClr val="E11D48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7A-DD41-BD4C-C84452D48368}"/>
              </c:ext>
            </c:extLst>
          </c:dPt>
          <c:cat>
            <c:strRef>
              <c:f>Data!$A$6:$A$10</c:f>
              <c:strCache>
                <c:ptCount val="5"/>
                <c:pt idx="0">
                  <c:v>Beleza Saude</c:v>
                </c:pt>
                <c:pt idx="1">
                  <c:v>Relogios Presentes</c:v>
                </c:pt>
                <c:pt idx="2">
                  <c:v>Cama Mesa Banho</c:v>
                </c:pt>
                <c:pt idx="3">
                  <c:v>Esporte Lazer</c:v>
                </c:pt>
                <c:pt idx="4">
                  <c:v>Informatica Acessorios</c:v>
                </c:pt>
              </c:strCache>
            </c:strRef>
          </c:cat>
          <c:val>
            <c:numRef>
              <c:f>Data!$B$6:$B$10</c:f>
              <c:numCache>
                <c:formatCode>_([$$-409]* #,##0.00_);_([$$-409]* \(#,##0.00\);_([$$-409]* "-"??_);_(@_)</c:formatCode>
                <c:ptCount val="5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7A-DD41-BD4C-C84452D4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864575"/>
        <c:axId val="80884511"/>
      </c:barChart>
      <c:catAx>
        <c:axId val="8086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884511"/>
        <c:crosses val="autoZero"/>
        <c:auto val="1"/>
        <c:lblAlgn val="ctr"/>
        <c:lblOffset val="100"/>
        <c:noMultiLvlLbl val="0"/>
      </c:catAx>
      <c:valAx>
        <c:axId val="8088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864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Monthly</a:t>
            </a:r>
            <a:r>
              <a:rPr lang="en-GB" sz="180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Revenue Trend (MoM)</a:t>
            </a:r>
            <a:endParaRPr lang="en-GB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Data!$B$21</c:f>
              <c:strCache>
                <c:ptCount val="1"/>
                <c:pt idx="0">
                  <c:v>Total Revenue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11D48"/>
              </a:solidFill>
              <a:ln w="9525">
                <a:solidFill>
                  <a:srgbClr val="E11D48"/>
                </a:solidFill>
              </a:ln>
              <a:effectLst/>
            </c:spPr>
          </c:marker>
          <c:cat>
            <c:strRef>
              <c:f>Data!$A$22:$A$44</c:f>
              <c:strCache>
                <c:ptCount val="23"/>
                <c:pt idx="0">
                  <c:v>2016-09</c:v>
                </c:pt>
                <c:pt idx="1">
                  <c:v>2016-10</c:v>
                </c:pt>
                <c:pt idx="2">
                  <c:v>2016-12</c:v>
                </c:pt>
                <c:pt idx="3">
                  <c:v>2017-01</c:v>
                </c:pt>
                <c:pt idx="4">
                  <c:v>2017-02</c:v>
                </c:pt>
                <c:pt idx="5">
                  <c:v>2017-03</c:v>
                </c:pt>
                <c:pt idx="6">
                  <c:v>2017-04</c:v>
                </c:pt>
                <c:pt idx="7">
                  <c:v>2017-05</c:v>
                </c:pt>
                <c:pt idx="8">
                  <c:v>2017-06</c:v>
                </c:pt>
                <c:pt idx="9">
                  <c:v>2017-07</c:v>
                </c:pt>
                <c:pt idx="10">
                  <c:v>2017-08</c:v>
                </c:pt>
                <c:pt idx="11">
                  <c:v>2017-09</c:v>
                </c:pt>
                <c:pt idx="12">
                  <c:v>2017-10</c:v>
                </c:pt>
                <c:pt idx="13">
                  <c:v>2017-11</c:v>
                </c:pt>
                <c:pt idx="14">
                  <c:v>2017-12</c:v>
                </c:pt>
                <c:pt idx="15">
                  <c:v>2018-01</c:v>
                </c:pt>
                <c:pt idx="16">
                  <c:v>2018-02</c:v>
                </c:pt>
                <c:pt idx="17">
                  <c:v>2018-03</c:v>
                </c:pt>
                <c:pt idx="18">
                  <c:v>2018-04</c:v>
                </c:pt>
                <c:pt idx="19">
                  <c:v>2018-05</c:v>
                </c:pt>
                <c:pt idx="20">
                  <c:v>2018-06</c:v>
                </c:pt>
                <c:pt idx="21">
                  <c:v>2018-07</c:v>
                </c:pt>
                <c:pt idx="22">
                  <c:v>2018-08</c:v>
                </c:pt>
              </c:strCache>
            </c:strRef>
          </c:cat>
          <c:val>
            <c:numRef>
              <c:f>Data!$B$22:$B$44</c:f>
              <c:numCache>
                <c:formatCode>_([$$-409]* #,##0.00_);_([$$-409]* \(#,##0.00\);_([$$-409]* "-"??_);_(@_)</c:formatCode>
                <c:ptCount val="23"/>
                <c:pt idx="0">
                  <c:v>134.97</c:v>
                </c:pt>
                <c:pt idx="1">
                  <c:v>40325.11</c:v>
                </c:pt>
                <c:pt idx="2">
                  <c:v>10.9</c:v>
                </c:pt>
                <c:pt idx="3">
                  <c:v>111798.36</c:v>
                </c:pt>
                <c:pt idx="4">
                  <c:v>234223.4</c:v>
                </c:pt>
                <c:pt idx="5">
                  <c:v>359198.85</c:v>
                </c:pt>
                <c:pt idx="6">
                  <c:v>340669.68</c:v>
                </c:pt>
                <c:pt idx="7">
                  <c:v>489338.25</c:v>
                </c:pt>
                <c:pt idx="8">
                  <c:v>421923.37</c:v>
                </c:pt>
                <c:pt idx="9">
                  <c:v>481604.52</c:v>
                </c:pt>
                <c:pt idx="10">
                  <c:v>554699.69999999995</c:v>
                </c:pt>
                <c:pt idx="11">
                  <c:v>607399.67000000004</c:v>
                </c:pt>
                <c:pt idx="12">
                  <c:v>648247.65</c:v>
                </c:pt>
                <c:pt idx="13">
                  <c:v>987765.37</c:v>
                </c:pt>
                <c:pt idx="14">
                  <c:v>726033.19</c:v>
                </c:pt>
                <c:pt idx="15">
                  <c:v>924645</c:v>
                </c:pt>
                <c:pt idx="16">
                  <c:v>826437.13</c:v>
                </c:pt>
                <c:pt idx="17">
                  <c:v>953356.25</c:v>
                </c:pt>
                <c:pt idx="18">
                  <c:v>973534.09</c:v>
                </c:pt>
                <c:pt idx="19">
                  <c:v>977544.69</c:v>
                </c:pt>
                <c:pt idx="20">
                  <c:v>856077.86</c:v>
                </c:pt>
                <c:pt idx="21">
                  <c:v>867953.46</c:v>
                </c:pt>
                <c:pt idx="22">
                  <c:v>838576.64000000001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E65-9443-8D03-15B566334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rgbClr val="FF0000"/>
              </a:solidFill>
            </a:ln>
          </c:spPr>
        </c:dropLines>
        <c:marker val="1"/>
        <c:smooth val="0"/>
        <c:axId val="2042606816"/>
        <c:axId val="2042608528"/>
      </c:lineChart>
      <c:catAx>
        <c:axId val="204260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2608528"/>
        <c:crosses val="autoZero"/>
        <c:auto val="1"/>
        <c:lblAlgn val="ctr"/>
        <c:lblOffset val="100"/>
        <c:noMultiLvlLbl val="0"/>
      </c:catAx>
      <c:valAx>
        <c:axId val="204260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2606816"/>
        <c:crosses val="autoZero"/>
        <c:crossBetween val="between"/>
      </c:valAx>
    </c:plotArea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800" b="0" i="0" u="none" strike="noStrike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Top Revenue-Generating States</a:t>
            </a:r>
            <a:endPara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Data!$B$51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E11D48"/>
            </a:solidFill>
            <a:ln>
              <a:solidFill>
                <a:srgbClr val="E11D48"/>
              </a:solidFill>
            </a:ln>
            <a:effectLst/>
          </c:spPr>
          <c:invertIfNegative val="0"/>
          <c:cat>
            <c:strRef>
              <c:f>Data!$A$52:$A$61</c:f>
              <c:strCache>
                <c:ptCount val="10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DF</c:v>
                </c:pt>
                <c:pt idx="8">
                  <c:v>GO</c:v>
                </c:pt>
                <c:pt idx="9">
                  <c:v>ES</c:v>
                </c:pt>
              </c:strCache>
            </c:strRef>
          </c:cat>
          <c:val>
            <c:numRef>
              <c:f>Data!$B$52:$B$61</c:f>
              <c:numCache>
                <c:formatCode>_([$$-409]* #,##0.00_);_([$$-409]* \(#,##0.00\);_([$$-409]* "-"??_);_(@_)</c:formatCode>
                <c:ptCount val="10"/>
                <c:pt idx="0">
                  <c:v>5067633.16</c:v>
                </c:pt>
                <c:pt idx="1">
                  <c:v>1759651.13</c:v>
                </c:pt>
                <c:pt idx="2">
                  <c:v>1552481.83</c:v>
                </c:pt>
                <c:pt idx="3">
                  <c:v>728897.47</c:v>
                </c:pt>
                <c:pt idx="4">
                  <c:v>666063.51</c:v>
                </c:pt>
                <c:pt idx="5">
                  <c:v>507012.13</c:v>
                </c:pt>
                <c:pt idx="6">
                  <c:v>493584.14</c:v>
                </c:pt>
                <c:pt idx="7">
                  <c:v>296498.40999999997</c:v>
                </c:pt>
                <c:pt idx="8">
                  <c:v>282836.7</c:v>
                </c:pt>
                <c:pt idx="9">
                  <c:v>268643.45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984C-B408-E400F847C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1350416"/>
        <c:axId val="640883968"/>
      </c:barChart>
      <c:catAx>
        <c:axId val="64135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0883968"/>
        <c:crosses val="autoZero"/>
        <c:auto val="1"/>
        <c:lblAlgn val="ctr"/>
        <c:lblOffset val="100"/>
        <c:noMultiLvlLbl val="0"/>
      </c:catAx>
      <c:valAx>
        <c:axId val="640883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135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MY" sz="1800" b="0" i="0" u="none" strike="noStrike" baseline="0"/>
              <a:t>Payment Preference &amp; Average Order Value (AOV)</a:t>
            </a:r>
            <a:endParaRPr lang="en-US" sz="180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Data!$B$13</c:f>
              <c:strCache>
                <c:ptCount val="1"/>
                <c:pt idx="0">
                  <c:v>Total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C051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83-174F-A7F0-2A3DC598A293}"/>
              </c:ext>
            </c:extLst>
          </c:dPt>
          <c:dPt>
            <c:idx val="1"/>
            <c:invertIfNegative val="0"/>
            <c:bubble3D val="0"/>
            <c:spPr>
              <a:solidFill>
                <a:srgbClr val="BE185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83-174F-A7F0-2A3DC598A293}"/>
              </c:ext>
            </c:extLst>
          </c:dPt>
          <c:dPt>
            <c:idx val="2"/>
            <c:invertIfNegative val="0"/>
            <c:bubble3D val="0"/>
            <c:spPr>
              <a:solidFill>
                <a:srgbClr val="FB713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83-174F-A7F0-2A3DC598A293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83-174F-A7F0-2A3DC598A293}"/>
              </c:ext>
            </c:extLst>
          </c:dPt>
          <c:dPt>
            <c:idx val="4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83-174F-A7F0-2A3DC598A293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/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fld id="{0892DB63-88CF-A94F-9B7B-8ECA25A9849B}" type="CELLRANGE">
                      <a:rPr lang="en-US"/>
                      <a:pPr>
                        <a:defRPr sz="1000">
                          <a:solidFill>
                            <a:schemeClr val="tx1"/>
                          </a:solidFill>
                          <a:latin typeface="Arial" panose="020B06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6709897049875"/>
                      <c:h val="0.10188877567437123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183-174F-A7F0-2A3DC598A2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E3DAB59-E33B-324F-8CE5-90060590105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183-174F-A7F0-2A3DC598A2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5F9CFC-B550-774F-AE0D-C1DFADE1249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183-174F-A7F0-2A3DC598A2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CBE34C-CCDF-CB49-B953-CCC7529DC3E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183-174F-A7F0-2A3DC598A2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7F8B90-1CE8-5841-A23F-D4F72B4FED1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183-174F-A7F0-2A3DC598A2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Data!$A$14:$A$18</c:f>
              <c:strCache>
                <c:ptCount val="5"/>
                <c:pt idx="0">
                  <c:v>Credit Card</c:v>
                </c:pt>
                <c:pt idx="1">
                  <c:v>Boleto</c:v>
                </c:pt>
                <c:pt idx="2">
                  <c:v>Voucher</c:v>
                </c:pt>
                <c:pt idx="3">
                  <c:v>Debit Card</c:v>
                </c:pt>
                <c:pt idx="4">
                  <c:v>Not Defined</c:v>
                </c:pt>
              </c:strCache>
            </c:strRef>
          </c:cat>
          <c:val>
            <c:numRef>
              <c:f>Data!$B$14:$B$18</c:f>
              <c:numCache>
                <c:formatCode>#,##0</c:formatCode>
                <c:ptCount val="5"/>
                <c:pt idx="0">
                  <c:v>76505</c:v>
                </c:pt>
                <c:pt idx="1">
                  <c:v>19784</c:v>
                </c:pt>
                <c:pt idx="2">
                  <c:v>3866</c:v>
                </c:pt>
                <c:pt idx="3">
                  <c:v>1528</c:v>
                </c:pt>
                <c:pt idx="4">
                  <c:v>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Data!$D$14:$D$18</c15:f>
                <c15:dlblRangeCache>
                  <c:ptCount val="5"/>
                  <c:pt idx="0">
                    <c:v>76,505 orders | $163.32 AOV</c:v>
                  </c:pt>
                  <c:pt idx="1">
                    <c:v>19,784 orders | $145.03 AOV</c:v>
                  </c:pt>
                  <c:pt idx="2">
                    <c:v>3,866 orders | $65.70 AOV</c:v>
                  </c:pt>
                  <c:pt idx="3">
                    <c:v>1,528 orders | $142.57 AOV</c:v>
                  </c:pt>
                  <c:pt idx="4">
                    <c:v>3 orders | $0.00 AOV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D183-174F-A7F0-2A3DC598A29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9699200"/>
        <c:axId val="646545344"/>
      </c:barChart>
      <c:catAx>
        <c:axId val="6696992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6545344"/>
        <c:crosses val="autoZero"/>
        <c:auto val="1"/>
        <c:lblAlgn val="ctr"/>
        <c:lblOffset val="100"/>
        <c:noMultiLvlLbl val="0"/>
      </c:catAx>
      <c:valAx>
        <c:axId val="646545344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696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442114</xdr:colOff>
      <xdr:row>11</xdr:row>
      <xdr:rowOff>12701</xdr:rowOff>
    </xdr:from>
    <xdr:to>
      <xdr:col>5</xdr:col>
      <xdr:colOff>396076</xdr:colOff>
      <xdr:row>16</xdr:row>
      <xdr:rowOff>25400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AFBCD7-E4A6-E812-FD15-10954935E9B4}"/>
            </a:ext>
          </a:extLst>
        </xdr:cNvPr>
        <xdr:cNvSpPr/>
      </xdr:nvSpPr>
      <xdr:spPr>
        <a:xfrm>
          <a:off x="442114" y="2195514"/>
          <a:ext cx="4121150" cy="1004886"/>
        </a:xfrm>
        <a:prstGeom prst="rect">
          <a:avLst/>
        </a:prstGeom>
        <a:solidFill>
          <a:srgbClr val="4C051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Total Revenue:</a:t>
          </a:r>
          <a:r>
            <a:rPr lang="en-GB" sz="2000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  <a:r>
            <a:rPr lang="en-MY" sz="2000" b="0" i="0" u="none" strike="noStrik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$13,591,643.70 </a:t>
          </a:r>
          <a:endParaRPr lang="en-MY" sz="2000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5555</xdr:colOff>
      <xdr:row>11</xdr:row>
      <xdr:rowOff>12699</xdr:rowOff>
    </xdr:from>
    <xdr:to>
      <xdr:col>9</xdr:col>
      <xdr:colOff>491067</xdr:colOff>
      <xdr:row>16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B7BE507-4665-8F68-69B9-F84FF0AE28C7}"/>
            </a:ext>
          </a:extLst>
        </xdr:cNvPr>
        <xdr:cNvSpPr/>
      </xdr:nvSpPr>
      <xdr:spPr>
        <a:xfrm>
          <a:off x="4983955" y="2247899"/>
          <a:ext cx="2974712" cy="1003301"/>
        </a:xfrm>
        <a:prstGeom prst="rect">
          <a:avLst/>
        </a:prstGeom>
        <a:solidFill>
          <a:srgbClr val="4C051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Total Orders: </a:t>
          </a:r>
          <a:r>
            <a:rPr lang="en-MY" sz="2000" b="0" i="0" u="none" strike="noStrike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98,666</a:t>
          </a:r>
          <a:r>
            <a:rPr lang="en-MY" sz="2000">
              <a:effectLst/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0</xdr:col>
      <xdr:colOff>462438</xdr:colOff>
      <xdr:row>48</xdr:row>
      <xdr:rowOff>14781</xdr:rowOff>
    </xdr:from>
    <xdr:to>
      <xdr:col>11</xdr:col>
      <xdr:colOff>411103</xdr:colOff>
      <xdr:row>73</xdr:row>
      <xdr:rowOff>175172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8B258D-9677-2647-8F39-D3A4D19D7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438656</xdr:colOff>
      <xdr:row>19</xdr:row>
      <xdr:rowOff>23655</xdr:rowOff>
    </xdr:from>
    <xdr:to>
      <xdr:col>11</xdr:col>
      <xdr:colOff>457200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6F2B74B-2142-7D47-9D3F-C621CEC62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39153</xdr:colOff>
      <xdr:row>11</xdr:row>
      <xdr:rowOff>0</xdr:rowOff>
    </xdr:from>
    <xdr:to>
      <xdr:col>15</xdr:col>
      <xdr:colOff>481725</xdr:colOff>
      <xdr:row>16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F4697EE0-17AD-A6A3-C675-89A18930F24E}"/>
            </a:ext>
          </a:extLst>
        </xdr:cNvPr>
        <xdr:cNvSpPr/>
      </xdr:nvSpPr>
      <xdr:spPr>
        <a:xfrm>
          <a:off x="8359843" y="2167759"/>
          <a:ext cx="4602916" cy="985344"/>
        </a:xfrm>
        <a:prstGeom prst="rect">
          <a:avLst/>
        </a:prstGeom>
        <a:solidFill>
          <a:srgbClr val="4C051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Average Order Value (AOV): $137.75</a:t>
          </a:r>
        </a:p>
      </xdr:txBody>
    </xdr:sp>
    <xdr:clientData/>
  </xdr:twoCellAnchor>
  <xdr:twoCellAnchor>
    <xdr:from>
      <xdr:col>16</xdr:col>
      <xdr:colOff>21897</xdr:colOff>
      <xdr:row>11</xdr:row>
      <xdr:rowOff>25400</xdr:rowOff>
    </xdr:from>
    <xdr:to>
      <xdr:col>20</xdr:col>
      <xdr:colOff>240862</xdr:colOff>
      <xdr:row>16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6819E42-A3C1-ADAB-FAC8-1DFF4AE2FE96}"/>
            </a:ext>
          </a:extLst>
        </xdr:cNvPr>
        <xdr:cNvSpPr/>
      </xdr:nvSpPr>
      <xdr:spPr>
        <a:xfrm>
          <a:off x="13335000" y="2193159"/>
          <a:ext cx="3547241" cy="959944"/>
        </a:xfrm>
        <a:prstGeom prst="rect">
          <a:avLst/>
        </a:prstGeom>
        <a:solidFill>
          <a:srgbClr val="4C051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Average Delivery:</a:t>
          </a:r>
          <a:r>
            <a:rPr lang="en-GB" sz="2000" baseline="0">
              <a:latin typeface="Arial" panose="020B0604020202020204" pitchFamily="34" charset="0"/>
              <a:cs typeface="Arial" panose="020B0604020202020204" pitchFamily="34" charset="0"/>
            </a:rPr>
            <a:t> 12.5 Days</a:t>
          </a:r>
          <a:endParaRPr lang="en-GB" sz="20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31</xdr:col>
      <xdr:colOff>0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9091FF8-3CCE-8E56-191D-849021DE765B}"/>
            </a:ext>
          </a:extLst>
        </xdr:cNvPr>
        <xdr:cNvSpPr txBox="1"/>
      </xdr:nvSpPr>
      <xdr:spPr>
        <a:xfrm>
          <a:off x="0" y="0"/>
          <a:ext cx="25901316" cy="1053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MY" sz="3200">
              <a:solidFill>
                <a:srgbClr val="FAFAF9"/>
              </a:solidFill>
              <a:latin typeface="Arial" panose="020B0604020202020204" pitchFamily="34" charset="0"/>
              <a:cs typeface="Arial" panose="020B0604020202020204" pitchFamily="34" charset="0"/>
            </a:rPr>
            <a:t>BRAZILIAN E-COMMERCE SALES &amp; LOGISTICS DASHBOARD </a:t>
          </a:r>
          <a:endParaRPr lang="en-GB" sz="3200">
            <a:solidFill>
              <a:srgbClr val="FAFAF9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0</xdr:colOff>
      <xdr:row>5</xdr:row>
      <xdr:rowOff>50800</xdr:rowOff>
    </xdr:from>
    <xdr:to>
      <xdr:col>31</xdr:col>
      <xdr:colOff>0</xdr:colOff>
      <xdr:row>9</xdr:row>
      <xdr:rowOff>177800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72B9083-800D-7E82-D073-5297051F245A}"/>
            </a:ext>
          </a:extLst>
        </xdr:cNvPr>
        <xdr:cNvSpPr txBox="1"/>
      </xdr:nvSpPr>
      <xdr:spPr>
        <a:xfrm>
          <a:off x="0" y="1053432"/>
          <a:ext cx="25901316" cy="92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2800">
              <a:solidFill>
                <a:srgbClr val="FAFAF9"/>
              </a:solidFill>
              <a:latin typeface="Arial" panose="020B0604020202020204" pitchFamily="34" charset="0"/>
              <a:cs typeface="Arial" panose="020B0604020202020204" pitchFamily="34" charset="0"/>
            </a:rPr>
            <a:t>Executive Insights from 100k+ Olist Transactions | Tools: SQL &amp; Excel </a:t>
          </a:r>
          <a:endParaRPr lang="en-GB" sz="2800">
            <a:solidFill>
              <a:srgbClr val="FAFAF9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7</xdr:col>
      <xdr:colOff>82287</xdr:colOff>
      <xdr:row>2</xdr:row>
      <xdr:rowOff>0</xdr:rowOff>
    </xdr:from>
    <xdr:to>
      <xdr:col>8</xdr:col>
      <xdr:colOff>158487</xdr:colOff>
      <xdr:row>6</xdr:row>
      <xdr:rowOff>101600</xdr:rowOff>
    </xdr:to>
    <xdr:pic>
      <xdr:nvPicPr>
        <xdr:cNvPr id="18" name="Graphic 17" descr="Shopping cart outline">
          <a:extLst>
            <a:ext uri="{FF2B5EF4-FFF2-40B4-BE49-F238E27FC236}">
              <a16:creationId xmlns:a16="http://schemas.microsoft.com/office/drawing/2014/main" id="{C1F4AF83-F24F-9B66-49CA-082692CDF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30971" y="401053"/>
          <a:ext cx="911727" cy="903705"/>
        </a:xfrm>
        <a:prstGeom prst="rect">
          <a:avLst/>
        </a:prstGeom>
      </xdr:spPr>
    </xdr:pic>
    <xdr:clientData/>
  </xdr:twoCellAnchor>
  <xdr:twoCellAnchor>
    <xdr:from>
      <xdr:col>20</xdr:col>
      <xdr:colOff>678793</xdr:colOff>
      <xdr:row>11</xdr:row>
      <xdr:rowOff>25399</xdr:rowOff>
    </xdr:from>
    <xdr:to>
      <xdr:col>24</xdr:col>
      <xdr:colOff>541867</xdr:colOff>
      <xdr:row>16</xdr:row>
      <xdr:rowOff>6130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672B1EE-87D8-7047-A37D-C50E5F8929AF}"/>
            </a:ext>
          </a:extLst>
        </xdr:cNvPr>
        <xdr:cNvSpPr/>
      </xdr:nvSpPr>
      <xdr:spPr>
        <a:xfrm>
          <a:off x="17320172" y="2193158"/>
          <a:ext cx="3191350" cy="966075"/>
        </a:xfrm>
        <a:prstGeom prst="rect">
          <a:avLst/>
        </a:prstGeom>
        <a:solidFill>
          <a:srgbClr val="4C051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>
              <a:latin typeface="Arial" panose="020B0604020202020204" pitchFamily="34" charset="0"/>
              <a:cs typeface="Arial" panose="020B0604020202020204" pitchFamily="34" charset="0"/>
            </a:rPr>
            <a:t>Late Delivery Rate: 8.11%</a:t>
          </a:r>
        </a:p>
      </xdr:txBody>
    </xdr:sp>
    <xdr:clientData/>
  </xdr:twoCellAnchor>
  <xdr:twoCellAnchor>
    <xdr:from>
      <xdr:col>3</xdr:col>
      <xdr:colOff>820152</xdr:colOff>
      <xdr:row>22</xdr:row>
      <xdr:rowOff>25400</xdr:rowOff>
    </xdr:from>
    <xdr:to>
      <xdr:col>6</xdr:col>
      <xdr:colOff>268261</xdr:colOff>
      <xdr:row>24</xdr:row>
      <xdr:rowOff>177801</xdr:rowOff>
    </xdr:to>
    <xdr:sp macro="" textlink="">
      <xdr:nvSpPr>
        <xdr:cNvPr id="13" name="Line Callout 2 (No Border) 12">
          <a:extLst>
            <a:ext uri="{FF2B5EF4-FFF2-40B4-BE49-F238E27FC236}">
              <a16:creationId xmlns:a16="http://schemas.microsoft.com/office/drawing/2014/main" id="{D2743BC7-91F1-1A68-A6A8-D7C8EC3D1DBF}"/>
            </a:ext>
          </a:extLst>
        </xdr:cNvPr>
        <xdr:cNvSpPr/>
      </xdr:nvSpPr>
      <xdr:spPr>
        <a:xfrm flipH="1">
          <a:off x="3326731" y="4436979"/>
          <a:ext cx="1954688" cy="553454"/>
        </a:xfrm>
        <a:prstGeom prst="callout2">
          <a:avLst>
            <a:gd name="adj1" fmla="val 18750"/>
            <a:gd name="adj2" fmla="val 656"/>
            <a:gd name="adj3" fmla="val 18750"/>
            <a:gd name="adj4" fmla="val -16667"/>
            <a:gd name="adj5" fmla="val 112500"/>
            <a:gd name="adj6" fmla="val -46667"/>
          </a:avLst>
        </a:prstGeom>
        <a:solidFill>
          <a:srgbClr val="4C0519"/>
        </a:solidFill>
        <a:ln>
          <a:solidFill>
            <a:srgbClr val="4C0519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MY" sz="1000" b="0">
              <a:latin typeface="Arial" panose="020B0604020202020204" pitchFamily="34" charset="0"/>
              <a:cs typeface="Arial" panose="020B0604020202020204" pitchFamily="34" charset="0"/>
            </a:rPr>
            <a:t>📌 Black Friday Peak +$52.37% MoM ($987.7K)</a:t>
          </a:r>
          <a:endParaRPr lang="en-GB" sz="10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431800</xdr:colOff>
      <xdr:row>48</xdr:row>
      <xdr:rowOff>0</xdr:rowOff>
    </xdr:from>
    <xdr:to>
      <xdr:col>24</xdr:col>
      <xdr:colOff>550333</xdr:colOff>
      <xdr:row>74</xdr:row>
      <xdr:rowOff>37353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9464E0B-809F-194D-9609-56D3160638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406399</xdr:colOff>
      <xdr:row>19</xdr:row>
      <xdr:rowOff>0</xdr:rowOff>
    </xdr:from>
    <xdr:to>
      <xdr:col>24</xdr:col>
      <xdr:colOff>486832</xdr:colOff>
      <xdr:row>45</xdr:row>
      <xdr:rowOff>47925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2DE5C6C-6A9D-B04F-AB49-46EFCD8CC2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271175</xdr:colOff>
      <xdr:row>9</xdr:row>
      <xdr:rowOff>148167</xdr:rowOff>
    </xdr:from>
    <xdr:to>
      <xdr:col>30</xdr:col>
      <xdr:colOff>600566</xdr:colOff>
      <xdr:row>76</xdr:row>
      <xdr:rowOff>99851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8584D5B-CC8F-D2C9-7A40-938D8B202EEF}"/>
            </a:ext>
          </a:extLst>
        </xdr:cNvPr>
        <xdr:cNvSpPr/>
      </xdr:nvSpPr>
      <xdr:spPr>
        <a:xfrm>
          <a:off x="20908675" y="2053167"/>
          <a:ext cx="4456891" cy="14133351"/>
        </a:xfrm>
        <a:prstGeom prst="roundRect">
          <a:avLst/>
        </a:prstGeom>
        <a:solidFill>
          <a:srgbClr val="FAFAF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rgbClr val="4C05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GB" sz="2400" b="1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📈 EXECUTIVE INSIGHTS &amp; STRATEGIC SUMMARY</a:t>
          </a:r>
        </a:p>
        <a:p>
          <a:pPr algn="l"/>
          <a:endParaRPr lang="en-GB" sz="2400" b="1">
            <a:solidFill>
              <a:srgbClr val="4C05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GB" sz="2400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• Revenue &amp; Volume: Generated $13.59M across 98.7K orders, led by Health &amp; Beauty ($1.25M).</a:t>
          </a:r>
        </a:p>
        <a:p>
          <a:pPr algn="l"/>
          <a:endParaRPr lang="en-GB" sz="2400">
            <a:solidFill>
              <a:srgbClr val="4C05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GB" sz="2400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• Payment Dynamics: Credit Cards dominate 75% of orders with the highest AOV ($163.32).</a:t>
          </a:r>
        </a:p>
        <a:p>
          <a:pPr algn="l"/>
          <a:endParaRPr lang="en-GB" sz="2400">
            <a:solidFill>
              <a:srgbClr val="4C05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GB" sz="2400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• Seasonality: Sales spiked +52.37% MoM in Nov 2017 due to Black Friday campaigns.</a:t>
          </a:r>
        </a:p>
        <a:p>
          <a:pPr algn="l"/>
          <a:endParaRPr lang="en-GB" sz="2400">
            <a:solidFill>
              <a:srgbClr val="4C0519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• Logistics Bottleneck: Avg fulfillment takes 12.5 days with 8.11</a:t>
          </a:r>
          <a:r>
            <a:rPr lang="en-MY" sz="2400">
              <a:solidFill>
                <a:srgbClr val="4C0519"/>
              </a:solidFill>
              <a:latin typeface="Arial" panose="020B0604020202020204" pitchFamily="34" charset="0"/>
              <a:cs typeface="Arial" panose="020B0604020202020204" pitchFamily="34" charset="0"/>
            </a:rPr>
            <a:t>% late delivery rate, concentrated in outer states.</a:t>
          </a:r>
          <a:endParaRPr lang="en-GB" sz="2400">
            <a:solidFill>
              <a:srgbClr val="4C0519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C7A8F-A1B2-2346-9C9C-EB2247DB23E5}">
  <dimension ref="A1:E61"/>
  <sheetViews>
    <sheetView topLeftCell="D1" zoomScale="91" zoomScaleNormal="75" workbookViewId="0">
      <selection activeCell="K31" sqref="K31"/>
    </sheetView>
  </sheetViews>
  <sheetFormatPr baseColWidth="10" defaultRowHeight="16"/>
  <cols>
    <col min="1" max="1" width="31.1640625" bestFit="1" customWidth="1"/>
    <col min="2" max="2" width="34.33203125" bestFit="1" customWidth="1"/>
    <col min="3" max="3" width="39.5" bestFit="1" customWidth="1"/>
    <col min="4" max="4" width="36.83203125" bestFit="1" customWidth="1"/>
  </cols>
  <sheetData>
    <row r="1" spans="1:4" ht="20">
      <c r="A1" s="2" t="s">
        <v>29</v>
      </c>
      <c r="B1" s="2" t="s">
        <v>30</v>
      </c>
    </row>
    <row r="2" spans="1:4" ht="20">
      <c r="A2" s="7">
        <v>98666</v>
      </c>
      <c r="B2" s="4">
        <v>13591643.699999999</v>
      </c>
      <c r="C2" s="1"/>
    </row>
    <row r="5" spans="1:4" ht="20">
      <c r="A5" s="2" t="s">
        <v>31</v>
      </c>
      <c r="B5" s="2" t="s">
        <v>30</v>
      </c>
      <c r="C5" s="3"/>
    </row>
    <row r="6" spans="1:4" ht="20">
      <c r="A6" s="3" t="s">
        <v>24</v>
      </c>
      <c r="B6" s="5">
        <v>1258681.3400000001</v>
      </c>
      <c r="C6" s="3"/>
    </row>
    <row r="7" spans="1:4" ht="20">
      <c r="A7" s="3" t="s">
        <v>25</v>
      </c>
      <c r="B7" s="5">
        <v>1205005.68</v>
      </c>
      <c r="C7" s="3"/>
    </row>
    <row r="8" spans="1:4" ht="20">
      <c r="A8" s="3" t="s">
        <v>26</v>
      </c>
      <c r="B8" s="5">
        <v>1036988.68</v>
      </c>
      <c r="C8" s="3"/>
    </row>
    <row r="9" spans="1:4" ht="20">
      <c r="A9" s="3" t="s">
        <v>27</v>
      </c>
      <c r="B9" s="5">
        <v>988048.97</v>
      </c>
      <c r="C9" s="3"/>
    </row>
    <row r="10" spans="1:4" ht="20">
      <c r="A10" s="3" t="s">
        <v>28</v>
      </c>
      <c r="B10" s="5">
        <v>911954.32</v>
      </c>
      <c r="C10" s="3"/>
    </row>
    <row r="13" spans="1:4" ht="20">
      <c r="A13" s="2" t="s">
        <v>37</v>
      </c>
      <c r="B13" s="2" t="s">
        <v>29</v>
      </c>
      <c r="C13" s="2" t="s">
        <v>38</v>
      </c>
      <c r="D13" s="3"/>
    </row>
    <row r="14" spans="1:4" ht="20">
      <c r="A14" s="3" t="s">
        <v>32</v>
      </c>
      <c r="B14" s="7">
        <v>76505</v>
      </c>
      <c r="C14" s="6">
        <v>163.32</v>
      </c>
      <c r="D14" s="3" t="str">
        <f>TEXT(B14, "#,##0") &amp; " orders | $" &amp; TEXT(C14, "#,##0.00") &amp; " AOV"</f>
        <v>76,505 orders | $163.32 AOV</v>
      </c>
    </row>
    <row r="15" spans="1:4" ht="20">
      <c r="A15" s="3" t="s">
        <v>34</v>
      </c>
      <c r="B15" s="7">
        <v>19784</v>
      </c>
      <c r="C15" s="6">
        <v>145.03</v>
      </c>
      <c r="D15" s="3" t="str">
        <f t="shared" ref="D15:D18" si="0">TEXT(B15, "#,##0") &amp; " orders | $" &amp; TEXT(C15, "#,##0.00") &amp; " AOV"</f>
        <v>19,784 orders | $145.03 AOV</v>
      </c>
    </row>
    <row r="16" spans="1:4" ht="20">
      <c r="A16" s="3" t="s">
        <v>33</v>
      </c>
      <c r="B16" s="7">
        <v>3866</v>
      </c>
      <c r="C16" s="6">
        <v>65.7</v>
      </c>
      <c r="D16" s="3" t="str">
        <f t="shared" si="0"/>
        <v>3,866 orders | $65.70 AOV</v>
      </c>
    </row>
    <row r="17" spans="1:5" ht="20">
      <c r="A17" s="3" t="s">
        <v>35</v>
      </c>
      <c r="B17" s="7">
        <v>1528</v>
      </c>
      <c r="C17" s="6">
        <v>142.57</v>
      </c>
      <c r="D17" s="3" t="str">
        <f t="shared" si="0"/>
        <v>1,528 orders | $142.57 AOV</v>
      </c>
    </row>
    <row r="18" spans="1:5" ht="20">
      <c r="A18" s="3" t="s">
        <v>36</v>
      </c>
      <c r="B18" s="7">
        <v>3</v>
      </c>
      <c r="C18" s="6">
        <v>0</v>
      </c>
      <c r="D18" s="3" t="str">
        <f t="shared" si="0"/>
        <v>3 orders | $0.00 AOV</v>
      </c>
    </row>
    <row r="21" spans="1:5" ht="20">
      <c r="A21" s="2" t="s">
        <v>41</v>
      </c>
      <c r="B21" s="2" t="s">
        <v>30</v>
      </c>
      <c r="C21" s="2" t="s">
        <v>40</v>
      </c>
      <c r="D21" s="2" t="s">
        <v>39</v>
      </c>
    </row>
    <row r="22" spans="1:5" ht="20">
      <c r="A22" s="3" t="s">
        <v>0</v>
      </c>
      <c r="B22" s="5">
        <v>134.97</v>
      </c>
      <c r="C22" s="4" t="s">
        <v>1</v>
      </c>
      <c r="D22" s="3" t="s">
        <v>1</v>
      </c>
      <c r="E22" s="1"/>
    </row>
    <row r="23" spans="1:5" ht="20">
      <c r="A23" s="3" t="s">
        <v>2</v>
      </c>
      <c r="B23" s="5">
        <v>40325.11</v>
      </c>
      <c r="C23" s="4">
        <v>134.97</v>
      </c>
      <c r="D23" s="8">
        <v>29777.09</v>
      </c>
      <c r="E23" s="1"/>
    </row>
    <row r="24" spans="1:5" ht="20">
      <c r="A24" s="3" t="s">
        <v>3</v>
      </c>
      <c r="B24" s="5">
        <v>10.9</v>
      </c>
      <c r="C24" s="4">
        <v>40325.11</v>
      </c>
      <c r="D24" s="8">
        <v>-99.97</v>
      </c>
      <c r="E24" s="1"/>
    </row>
    <row r="25" spans="1:5" ht="20">
      <c r="A25" s="3" t="s">
        <v>4</v>
      </c>
      <c r="B25" s="5">
        <v>111798.36</v>
      </c>
      <c r="C25" s="4">
        <v>10.9</v>
      </c>
      <c r="D25" s="8">
        <v>1025573.03</v>
      </c>
      <c r="E25" s="1"/>
    </row>
    <row r="26" spans="1:5" ht="20">
      <c r="A26" s="3" t="s">
        <v>5</v>
      </c>
      <c r="B26" s="5">
        <v>234223.4</v>
      </c>
      <c r="C26" s="4">
        <v>111798.36</v>
      </c>
      <c r="D26" s="8">
        <v>109.51</v>
      </c>
      <c r="E26" s="1"/>
    </row>
    <row r="27" spans="1:5" ht="20">
      <c r="A27" s="3" t="s">
        <v>6</v>
      </c>
      <c r="B27" s="5">
        <v>359198.85</v>
      </c>
      <c r="C27" s="4">
        <v>234223.4</v>
      </c>
      <c r="D27" s="8">
        <v>53.36</v>
      </c>
      <c r="E27" s="1"/>
    </row>
    <row r="28" spans="1:5" ht="20">
      <c r="A28" s="3" t="s">
        <v>7</v>
      </c>
      <c r="B28" s="5">
        <v>340669.68</v>
      </c>
      <c r="C28" s="4">
        <v>359198.85</v>
      </c>
      <c r="D28" s="8">
        <v>-5.16</v>
      </c>
      <c r="E28" s="1"/>
    </row>
    <row r="29" spans="1:5" ht="20">
      <c r="A29" s="3" t="s">
        <v>8</v>
      </c>
      <c r="B29" s="5">
        <v>489338.25</v>
      </c>
      <c r="C29" s="4">
        <v>340669.68</v>
      </c>
      <c r="D29" s="8">
        <v>43.64</v>
      </c>
      <c r="E29" s="1"/>
    </row>
    <row r="30" spans="1:5" ht="20">
      <c r="A30" s="3" t="s">
        <v>9</v>
      </c>
      <c r="B30" s="5">
        <v>421923.37</v>
      </c>
      <c r="C30" s="4">
        <v>489338.25</v>
      </c>
      <c r="D30" s="8">
        <v>-13.78</v>
      </c>
      <c r="E30" s="1"/>
    </row>
    <row r="31" spans="1:5" ht="20">
      <c r="A31" s="3" t="s">
        <v>10</v>
      </c>
      <c r="B31" s="5">
        <v>481604.52</v>
      </c>
      <c r="C31" s="4">
        <v>421923.37</v>
      </c>
      <c r="D31" s="8">
        <v>14.15</v>
      </c>
      <c r="E31" s="1"/>
    </row>
    <row r="32" spans="1:5" ht="20">
      <c r="A32" s="3" t="s">
        <v>11</v>
      </c>
      <c r="B32" s="5">
        <v>554699.69999999995</v>
      </c>
      <c r="C32" s="4">
        <v>481604.52</v>
      </c>
      <c r="D32" s="8">
        <v>15.18</v>
      </c>
      <c r="E32" s="1"/>
    </row>
    <row r="33" spans="1:5" ht="20">
      <c r="A33" s="3" t="s">
        <v>12</v>
      </c>
      <c r="B33" s="5">
        <v>607399.67000000004</v>
      </c>
      <c r="C33" s="4">
        <v>554699.69999999995</v>
      </c>
      <c r="D33" s="8">
        <v>9.5</v>
      </c>
      <c r="E33" s="1"/>
    </row>
    <row r="34" spans="1:5" ht="20">
      <c r="A34" s="3" t="s">
        <v>13</v>
      </c>
      <c r="B34" s="5">
        <v>648247.65</v>
      </c>
      <c r="C34" s="4">
        <v>607399.67000000004</v>
      </c>
      <c r="D34" s="8">
        <v>6.73</v>
      </c>
      <c r="E34" s="1"/>
    </row>
    <row r="35" spans="1:5" ht="20">
      <c r="A35" s="3" t="s">
        <v>14</v>
      </c>
      <c r="B35" s="5">
        <v>987765.37</v>
      </c>
      <c r="C35" s="4">
        <v>648247.65</v>
      </c>
      <c r="D35" s="8">
        <v>52.37</v>
      </c>
      <c r="E35" s="1"/>
    </row>
    <row r="36" spans="1:5" ht="20">
      <c r="A36" s="3" t="s">
        <v>15</v>
      </c>
      <c r="B36" s="5">
        <v>726033.19</v>
      </c>
      <c r="C36" s="4">
        <v>987765.37</v>
      </c>
      <c r="D36" s="8">
        <v>-26.5</v>
      </c>
      <c r="E36" s="1"/>
    </row>
    <row r="37" spans="1:5" ht="20">
      <c r="A37" s="3" t="s">
        <v>16</v>
      </c>
      <c r="B37" s="5">
        <v>924645</v>
      </c>
      <c r="C37" s="4">
        <v>726033.19</v>
      </c>
      <c r="D37" s="8">
        <v>27.36</v>
      </c>
      <c r="E37" s="1"/>
    </row>
    <row r="38" spans="1:5" ht="20">
      <c r="A38" s="3" t="s">
        <v>17</v>
      </c>
      <c r="B38" s="5">
        <v>826437.13</v>
      </c>
      <c r="C38" s="4">
        <v>924645</v>
      </c>
      <c r="D38" s="8">
        <v>-10.62</v>
      </c>
      <c r="E38" s="1"/>
    </row>
    <row r="39" spans="1:5" ht="20">
      <c r="A39" s="3" t="s">
        <v>18</v>
      </c>
      <c r="B39" s="5">
        <v>953356.25</v>
      </c>
      <c r="C39" s="4">
        <v>826437.13</v>
      </c>
      <c r="D39" s="8">
        <v>15.36</v>
      </c>
      <c r="E39" s="1"/>
    </row>
    <row r="40" spans="1:5" ht="20">
      <c r="A40" s="3" t="s">
        <v>19</v>
      </c>
      <c r="B40" s="5">
        <v>973534.09</v>
      </c>
      <c r="C40" s="4">
        <v>953356.25</v>
      </c>
      <c r="D40" s="8">
        <v>2.12</v>
      </c>
      <c r="E40" s="1"/>
    </row>
    <row r="41" spans="1:5" ht="20">
      <c r="A41" s="3" t="s">
        <v>20</v>
      </c>
      <c r="B41" s="5">
        <v>977544.69</v>
      </c>
      <c r="C41" s="4">
        <v>973534.09</v>
      </c>
      <c r="D41" s="8">
        <v>0.41</v>
      </c>
      <c r="E41" s="1"/>
    </row>
    <row r="42" spans="1:5" ht="20">
      <c r="A42" s="3" t="s">
        <v>21</v>
      </c>
      <c r="B42" s="5">
        <v>856077.86</v>
      </c>
      <c r="C42" s="4">
        <v>977544.69</v>
      </c>
      <c r="D42" s="8">
        <v>-12.43</v>
      </c>
      <c r="E42" s="1"/>
    </row>
    <row r="43" spans="1:5" ht="20">
      <c r="A43" s="3" t="s">
        <v>22</v>
      </c>
      <c r="B43" s="5">
        <v>867953.46</v>
      </c>
      <c r="C43" s="4">
        <v>856077.86</v>
      </c>
      <c r="D43" s="8">
        <v>1.39</v>
      </c>
      <c r="E43" s="1"/>
    </row>
    <row r="44" spans="1:5" ht="20">
      <c r="A44" s="3" t="s">
        <v>23</v>
      </c>
      <c r="B44" s="5">
        <v>838576.64000000001</v>
      </c>
      <c r="C44" s="4">
        <v>867953.46</v>
      </c>
      <c r="D44" s="8">
        <v>-3.38</v>
      </c>
      <c r="E44" s="1"/>
    </row>
    <row r="47" spans="1:5" ht="20">
      <c r="A47" s="2" t="s">
        <v>42</v>
      </c>
      <c r="B47" s="2" t="s">
        <v>43</v>
      </c>
      <c r="C47" s="2" t="s">
        <v>44</v>
      </c>
    </row>
    <row r="48" spans="1:5" ht="20">
      <c r="A48" s="3">
        <v>12.5</v>
      </c>
      <c r="B48" s="9">
        <v>8.11</v>
      </c>
      <c r="C48" s="6">
        <f>100 - B48</f>
        <v>91.89</v>
      </c>
    </row>
    <row r="51" spans="1:4" ht="20">
      <c r="A51" s="2" t="s">
        <v>55</v>
      </c>
      <c r="B51" s="2" t="s">
        <v>30</v>
      </c>
      <c r="C51" s="2" t="s">
        <v>29</v>
      </c>
    </row>
    <row r="52" spans="1:4" ht="20">
      <c r="A52" s="3" t="s">
        <v>45</v>
      </c>
      <c r="B52" s="4">
        <v>5067633.16</v>
      </c>
      <c r="C52" s="7">
        <v>40501</v>
      </c>
      <c r="D52" s="1"/>
    </row>
    <row r="53" spans="1:4" ht="20">
      <c r="A53" s="3" t="s">
        <v>46</v>
      </c>
      <c r="B53" s="4">
        <v>1759651.13</v>
      </c>
      <c r="C53" s="7">
        <v>12350</v>
      </c>
      <c r="D53" s="1"/>
    </row>
    <row r="54" spans="1:4" ht="20">
      <c r="A54" s="3" t="s">
        <v>47</v>
      </c>
      <c r="B54" s="4">
        <v>1552481.83</v>
      </c>
      <c r="C54" s="7">
        <v>11354</v>
      </c>
      <c r="D54" s="1"/>
    </row>
    <row r="55" spans="1:4" ht="20">
      <c r="A55" s="3" t="s">
        <v>48</v>
      </c>
      <c r="B55" s="4">
        <v>728897.47</v>
      </c>
      <c r="C55" s="7">
        <v>5345</v>
      </c>
      <c r="D55" s="1"/>
    </row>
    <row r="56" spans="1:4" ht="20">
      <c r="A56" s="3" t="s">
        <v>49</v>
      </c>
      <c r="B56" s="4">
        <v>666063.51</v>
      </c>
      <c r="C56" s="7">
        <v>4923</v>
      </c>
      <c r="D56" s="1"/>
    </row>
    <row r="57" spans="1:4" ht="20">
      <c r="A57" s="3" t="s">
        <v>50</v>
      </c>
      <c r="B57" s="4">
        <v>507012.13</v>
      </c>
      <c r="C57" s="7">
        <v>3546</v>
      </c>
      <c r="D57" s="1"/>
    </row>
    <row r="58" spans="1:4" ht="20">
      <c r="A58" s="3" t="s">
        <v>51</v>
      </c>
      <c r="B58" s="4">
        <v>493584.14</v>
      </c>
      <c r="C58" s="7">
        <v>3256</v>
      </c>
      <c r="D58" s="1"/>
    </row>
    <row r="59" spans="1:4" ht="20">
      <c r="A59" s="3" t="s">
        <v>52</v>
      </c>
      <c r="B59" s="4">
        <v>296498.40999999997</v>
      </c>
      <c r="C59" s="7">
        <v>2080</v>
      </c>
      <c r="D59" s="1"/>
    </row>
    <row r="60" spans="1:4" ht="20">
      <c r="A60" s="3" t="s">
        <v>53</v>
      </c>
      <c r="B60" s="4">
        <v>282836.7</v>
      </c>
      <c r="C60" s="7">
        <v>1957</v>
      </c>
      <c r="D60" s="1"/>
    </row>
    <row r="61" spans="1:4" ht="20">
      <c r="A61" s="3" t="s">
        <v>54</v>
      </c>
      <c r="B61" s="4">
        <v>268643.45</v>
      </c>
      <c r="C61" s="7">
        <v>1995</v>
      </c>
      <c r="D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198C-8675-8F4F-86C4-9DF1872DB45C}">
  <dimension ref="A1:AE78"/>
  <sheetViews>
    <sheetView tabSelected="1" zoomScale="65" zoomScaleNormal="59" workbookViewId="0">
      <selection activeCell="AJ11" sqref="AJ11"/>
    </sheetView>
  </sheetViews>
  <sheetFormatPr baseColWidth="10" defaultRowHeight="16"/>
  <sheetData>
    <row r="1" spans="1:3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1:31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0"/>
      <c r="AA11" s="10"/>
      <c r="AB11" s="10"/>
      <c r="AC11" s="10"/>
      <c r="AD11" s="10"/>
      <c r="AE11" s="10"/>
    </row>
    <row r="12" spans="1:3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0"/>
      <c r="AA12" s="10"/>
      <c r="AB12" s="10"/>
      <c r="AC12" s="10"/>
      <c r="AD12" s="10"/>
      <c r="AE12" s="10"/>
    </row>
    <row r="13" spans="1:3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0"/>
      <c r="AA13" s="10"/>
      <c r="AB13" s="10"/>
      <c r="AC13" s="10"/>
      <c r="AD13" s="10"/>
      <c r="AE13" s="10"/>
    </row>
    <row r="14" spans="1:3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0"/>
      <c r="AA14" s="10"/>
      <c r="AB14" s="10"/>
      <c r="AC14" s="10"/>
      <c r="AD14" s="10"/>
      <c r="AE14" s="10"/>
    </row>
    <row r="15" spans="1:3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0"/>
      <c r="AA15" s="10"/>
      <c r="AB15" s="10"/>
      <c r="AC15" s="10"/>
      <c r="AD15" s="10"/>
      <c r="AE15" s="10"/>
    </row>
    <row r="16" spans="1:3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0"/>
      <c r="AA16" s="10"/>
      <c r="AB16" s="10"/>
      <c r="AC16" s="10"/>
      <c r="AD16" s="10"/>
      <c r="AE16" s="10"/>
    </row>
    <row r="17" spans="1:3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0"/>
      <c r="AA17" s="10"/>
      <c r="AB17" s="10"/>
      <c r="AC17" s="10"/>
      <c r="AD17" s="10"/>
      <c r="AE17" s="10"/>
    </row>
    <row r="18" spans="1:3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0"/>
      <c r="AA18" s="10"/>
      <c r="AB18" s="10"/>
      <c r="AC18" s="10"/>
      <c r="AD18" s="10"/>
      <c r="AE18" s="10"/>
    </row>
    <row r="19" spans="1:3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0"/>
      <c r="AA19" s="10"/>
      <c r="AB19" s="10"/>
      <c r="AC19" s="10"/>
      <c r="AD19" s="10"/>
      <c r="AE19" s="10"/>
    </row>
    <row r="20" spans="1:3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0"/>
      <c r="AA20" s="10"/>
      <c r="AB20" s="10"/>
      <c r="AC20" s="10"/>
      <c r="AD20" s="10"/>
      <c r="AE20" s="10"/>
    </row>
    <row r="21" spans="1:3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0"/>
      <c r="AA21" s="10"/>
      <c r="AB21" s="10"/>
      <c r="AC21" s="10"/>
      <c r="AD21" s="10"/>
      <c r="AE21" s="10"/>
    </row>
    <row r="22" spans="1:3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0"/>
      <c r="AA22" s="10"/>
      <c r="AB22" s="10"/>
      <c r="AC22" s="10"/>
      <c r="AD22" s="10"/>
      <c r="AE22" s="10"/>
    </row>
    <row r="23" spans="1:3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0"/>
      <c r="AA23" s="10"/>
      <c r="AB23" s="10"/>
      <c r="AC23" s="10"/>
      <c r="AD23" s="10"/>
      <c r="AE23" s="10"/>
    </row>
    <row r="24" spans="1:3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0"/>
      <c r="AA24" s="10"/>
      <c r="AB24" s="10"/>
      <c r="AC24" s="10"/>
      <c r="AD24" s="10"/>
      <c r="AE24" s="10"/>
    </row>
    <row r="25" spans="1:3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0"/>
      <c r="AA25" s="10"/>
      <c r="AB25" s="10"/>
      <c r="AC25" s="10"/>
      <c r="AD25" s="10"/>
      <c r="AE25" s="10"/>
    </row>
    <row r="26" spans="1:3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0"/>
      <c r="AA26" s="10"/>
      <c r="AB26" s="10"/>
      <c r="AC26" s="10"/>
      <c r="AD26" s="10"/>
      <c r="AE26" s="10"/>
    </row>
    <row r="27" spans="1:3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0"/>
      <c r="AA27" s="10"/>
      <c r="AB27" s="10"/>
      <c r="AC27" s="10"/>
      <c r="AD27" s="10"/>
      <c r="AE27" s="10"/>
    </row>
    <row r="28" spans="1:3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0"/>
      <c r="AA28" s="10"/>
      <c r="AB28" s="10"/>
      <c r="AC28" s="10"/>
      <c r="AD28" s="10"/>
      <c r="AE28" s="10"/>
    </row>
    <row r="29" spans="1:3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0"/>
      <c r="AA29" s="10"/>
      <c r="AB29" s="10"/>
      <c r="AC29" s="10"/>
      <c r="AD29" s="10"/>
      <c r="AE29" s="10"/>
    </row>
    <row r="30" spans="1:3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0"/>
      <c r="AA30" s="10"/>
      <c r="AB30" s="10"/>
      <c r="AC30" s="10"/>
      <c r="AD30" s="10"/>
      <c r="AE30" s="10"/>
    </row>
    <row r="31" spans="1: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0"/>
      <c r="AA31" s="10"/>
      <c r="AB31" s="10"/>
      <c r="AC31" s="10"/>
      <c r="AD31" s="10"/>
      <c r="AE31" s="10"/>
    </row>
    <row r="32" spans="1:3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0"/>
      <c r="AA32" s="10"/>
      <c r="AB32" s="10"/>
      <c r="AC32" s="10"/>
      <c r="AD32" s="10"/>
      <c r="AE32" s="10"/>
    </row>
    <row r="33" spans="1:3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0"/>
      <c r="AA33" s="10"/>
      <c r="AB33" s="10"/>
      <c r="AC33" s="10"/>
      <c r="AD33" s="10"/>
      <c r="AE33" s="10"/>
    </row>
    <row r="34" spans="1:3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0"/>
      <c r="AA34" s="10"/>
      <c r="AB34" s="10"/>
      <c r="AC34" s="10"/>
      <c r="AD34" s="10"/>
      <c r="AE34" s="10"/>
    </row>
    <row r="35" spans="1:3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0"/>
      <c r="AA35" s="10"/>
      <c r="AB35" s="10"/>
      <c r="AC35" s="10"/>
      <c r="AD35" s="10"/>
      <c r="AE35" s="10"/>
    </row>
    <row r="36" spans="1:3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0"/>
      <c r="AA36" s="10"/>
      <c r="AB36" s="10"/>
      <c r="AC36" s="10"/>
      <c r="AD36" s="10"/>
      <c r="AE36" s="10"/>
    </row>
    <row r="37" spans="1:3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0"/>
      <c r="AA37" s="10"/>
      <c r="AB37" s="10"/>
      <c r="AC37" s="10"/>
      <c r="AD37" s="10"/>
      <c r="AE37" s="10"/>
    </row>
    <row r="38" spans="1:3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0"/>
      <c r="AA38" s="10"/>
      <c r="AB38" s="10"/>
      <c r="AC38" s="10"/>
      <c r="AD38" s="10"/>
      <c r="AE38" s="10"/>
    </row>
    <row r="39" spans="1:3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0"/>
      <c r="AA39" s="10"/>
      <c r="AB39" s="10"/>
      <c r="AC39" s="10"/>
      <c r="AD39" s="10"/>
      <c r="AE39" s="10"/>
    </row>
    <row r="40" spans="1:3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0"/>
      <c r="AA40" s="10"/>
      <c r="AB40" s="10"/>
      <c r="AC40" s="10"/>
      <c r="AD40" s="10"/>
      <c r="AE40" s="10"/>
    </row>
    <row r="41" spans="1:3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0"/>
      <c r="AA41" s="10"/>
      <c r="AB41" s="10"/>
      <c r="AC41" s="10"/>
      <c r="AD41" s="10"/>
      <c r="AE41" s="10"/>
    </row>
    <row r="42" spans="1:3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0"/>
      <c r="AA42" s="10"/>
      <c r="AB42" s="10"/>
      <c r="AC42" s="10"/>
      <c r="AD42" s="10"/>
      <c r="AE42" s="10"/>
    </row>
    <row r="43" spans="1:3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0"/>
      <c r="AA43" s="10"/>
      <c r="AB43" s="10"/>
      <c r="AC43" s="10"/>
      <c r="AD43" s="10"/>
      <c r="AE43" s="10"/>
    </row>
    <row r="44" spans="1:3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0"/>
      <c r="AA44" s="10"/>
      <c r="AB44" s="10"/>
      <c r="AC44" s="10"/>
      <c r="AD44" s="10"/>
      <c r="AE44" s="10"/>
    </row>
    <row r="45" spans="1:3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0"/>
      <c r="AA45" s="10"/>
      <c r="AB45" s="10"/>
      <c r="AC45" s="10"/>
      <c r="AD45" s="10"/>
      <c r="AE45" s="10"/>
    </row>
    <row r="46" spans="1:3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0"/>
      <c r="AA46" s="10"/>
      <c r="AB46" s="10"/>
      <c r="AC46" s="10"/>
      <c r="AD46" s="10"/>
      <c r="AE46" s="10"/>
    </row>
    <row r="47" spans="1:3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0"/>
      <c r="AA47" s="10"/>
      <c r="AB47" s="10"/>
      <c r="AC47" s="10"/>
      <c r="AD47" s="10"/>
      <c r="AE47" s="10"/>
    </row>
    <row r="48" spans="1:3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0"/>
      <c r="AA48" s="10"/>
      <c r="AB48" s="10"/>
      <c r="AC48" s="10"/>
      <c r="AD48" s="10"/>
      <c r="AE48" s="10"/>
    </row>
    <row r="49" spans="1:3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0"/>
      <c r="AA49" s="10"/>
      <c r="AB49" s="10"/>
      <c r="AC49" s="10"/>
      <c r="AD49" s="10"/>
      <c r="AE49" s="10"/>
    </row>
    <row r="50" spans="1:3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0"/>
      <c r="AA50" s="10"/>
      <c r="AB50" s="10"/>
      <c r="AC50" s="10"/>
      <c r="AD50" s="10"/>
      <c r="AE50" s="10"/>
    </row>
    <row r="51" spans="1:3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0"/>
      <c r="AA51" s="10"/>
      <c r="AB51" s="10"/>
      <c r="AC51" s="10"/>
      <c r="AD51" s="10"/>
      <c r="AE51" s="10"/>
    </row>
    <row r="52" spans="1:3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0"/>
      <c r="AA52" s="10"/>
      <c r="AB52" s="10"/>
      <c r="AC52" s="10"/>
      <c r="AD52" s="10"/>
      <c r="AE52" s="10"/>
    </row>
    <row r="53" spans="1:3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0"/>
      <c r="AA53" s="10"/>
      <c r="AB53" s="10"/>
      <c r="AC53" s="10"/>
      <c r="AD53" s="10"/>
      <c r="AE53" s="10"/>
    </row>
    <row r="54" spans="1:3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0"/>
      <c r="AA54" s="10"/>
      <c r="AB54" s="10"/>
      <c r="AC54" s="10"/>
      <c r="AD54" s="10"/>
      <c r="AE54" s="10"/>
    </row>
    <row r="55" spans="1:3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0"/>
      <c r="AA55" s="10"/>
      <c r="AB55" s="10"/>
      <c r="AC55" s="10"/>
      <c r="AD55" s="10"/>
      <c r="AE55" s="10"/>
    </row>
    <row r="56" spans="1:3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0"/>
      <c r="AA56" s="10"/>
      <c r="AB56" s="10"/>
      <c r="AC56" s="10"/>
      <c r="AD56" s="10"/>
      <c r="AE56" s="10"/>
    </row>
    <row r="57" spans="1:3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0"/>
      <c r="AA57" s="10"/>
      <c r="AB57" s="10"/>
      <c r="AC57" s="10"/>
      <c r="AD57" s="10"/>
      <c r="AE57" s="10"/>
    </row>
    <row r="58" spans="1:3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0"/>
      <c r="AA58" s="10"/>
      <c r="AB58" s="10"/>
      <c r="AC58" s="10"/>
      <c r="AD58" s="10"/>
      <c r="AE58" s="10"/>
    </row>
    <row r="59" spans="1:3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0"/>
      <c r="AA59" s="10"/>
      <c r="AB59" s="10"/>
      <c r="AC59" s="10"/>
      <c r="AD59" s="10"/>
      <c r="AE59" s="10"/>
    </row>
    <row r="60" spans="1:3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0"/>
      <c r="AA60" s="10"/>
      <c r="AB60" s="10"/>
      <c r="AC60" s="10"/>
      <c r="AD60" s="10"/>
      <c r="AE60" s="10"/>
    </row>
    <row r="61" spans="1:3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0"/>
      <c r="AA61" s="10"/>
      <c r="AB61" s="10"/>
      <c r="AC61" s="10"/>
      <c r="AD61" s="10"/>
      <c r="AE61" s="10"/>
    </row>
    <row r="62" spans="1:3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0"/>
      <c r="AA62" s="10"/>
      <c r="AB62" s="10"/>
      <c r="AC62" s="10"/>
      <c r="AD62" s="10"/>
      <c r="AE62" s="10"/>
    </row>
    <row r="63" spans="1:3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0"/>
      <c r="AA63" s="10"/>
      <c r="AB63" s="10"/>
      <c r="AC63" s="10"/>
      <c r="AD63" s="10"/>
      <c r="AE63" s="10"/>
    </row>
    <row r="64" spans="1:3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0"/>
      <c r="AA64" s="10"/>
      <c r="AB64" s="10"/>
      <c r="AC64" s="10"/>
      <c r="AD64" s="10"/>
      <c r="AE64" s="10"/>
    </row>
    <row r="65" spans="1:3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0"/>
      <c r="AA65" s="10"/>
      <c r="AB65" s="10"/>
      <c r="AC65" s="10"/>
      <c r="AD65" s="10"/>
      <c r="AE65" s="10"/>
    </row>
    <row r="66" spans="1:3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0"/>
      <c r="AA66" s="10"/>
      <c r="AB66" s="10"/>
      <c r="AC66" s="10"/>
      <c r="AD66" s="10"/>
      <c r="AE66" s="10"/>
    </row>
    <row r="67" spans="1:3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0"/>
      <c r="AA67" s="10"/>
      <c r="AB67" s="10"/>
      <c r="AC67" s="10"/>
      <c r="AD67" s="10"/>
      <c r="AE67" s="10"/>
    </row>
    <row r="68" spans="1:3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0"/>
      <c r="AA68" s="10"/>
      <c r="AB68" s="10"/>
      <c r="AC68" s="10"/>
      <c r="AD68" s="10"/>
      <c r="AE68" s="10"/>
    </row>
    <row r="69" spans="1:3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0"/>
      <c r="AA69" s="10"/>
      <c r="AB69" s="10"/>
      <c r="AC69" s="10"/>
      <c r="AD69" s="10"/>
      <c r="AE69" s="10"/>
    </row>
    <row r="70" spans="1:3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0"/>
      <c r="AA70" s="10"/>
      <c r="AB70" s="10"/>
      <c r="AC70" s="10"/>
      <c r="AD70" s="10"/>
      <c r="AE70" s="10"/>
    </row>
    <row r="71" spans="1:3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0"/>
      <c r="AA71" s="10"/>
      <c r="AB71" s="10"/>
      <c r="AC71" s="10"/>
      <c r="AD71" s="10"/>
      <c r="AE71" s="10"/>
    </row>
    <row r="72" spans="1:3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0"/>
      <c r="AA72" s="10"/>
      <c r="AB72" s="10"/>
      <c r="AC72" s="10"/>
      <c r="AD72" s="10"/>
      <c r="AE72" s="10"/>
    </row>
    <row r="73" spans="1:3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0"/>
      <c r="AA73" s="10"/>
      <c r="AB73" s="10"/>
      <c r="AC73" s="10"/>
      <c r="AD73" s="10"/>
      <c r="AE73" s="10"/>
    </row>
    <row r="74" spans="1:3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0"/>
      <c r="AA74" s="10"/>
      <c r="AB74" s="10"/>
      <c r="AC74" s="10"/>
      <c r="AD74" s="10"/>
      <c r="AE74" s="10"/>
    </row>
    <row r="75" spans="1:3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0"/>
      <c r="AA75" s="10"/>
      <c r="AB75" s="10"/>
      <c r="AC75" s="10"/>
      <c r="AD75" s="10"/>
      <c r="AE75" s="10"/>
    </row>
    <row r="76" spans="1:3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0"/>
      <c r="AA76" s="10"/>
      <c r="AB76" s="10"/>
      <c r="AC76" s="10"/>
      <c r="AD76" s="10"/>
      <c r="AE76" s="10"/>
    </row>
    <row r="77" spans="1:3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0"/>
      <c r="AA77" s="10"/>
      <c r="AB77" s="10"/>
      <c r="AC77" s="10"/>
      <c r="AD77" s="10"/>
      <c r="AE77" s="10"/>
    </row>
    <row r="78" spans="1:3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0"/>
      <c r="AA78" s="10"/>
      <c r="AB78" s="10"/>
      <c r="AC78" s="10"/>
      <c r="AD78" s="10"/>
      <c r="AE7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Meor Syaifudin Meor Sha</dc:creator>
  <cp:lastModifiedBy>Meor Syaifudin Meor Sha</cp:lastModifiedBy>
  <dcterms:created xsi:type="dcterms:W3CDTF">2026-07-28T08:03:50Z</dcterms:created>
  <dcterms:modified xsi:type="dcterms:W3CDTF">2026-08-04T07:47:37Z</dcterms:modified>
</cp:coreProperties>
</file>